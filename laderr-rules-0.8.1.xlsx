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PedroPauloFavatoBarc\Dev\laderr\"/>
    </mc:Choice>
  </mc:AlternateContent>
  <xr:revisionPtr revIDLastSave="0" documentId="13_ncr:1_{94C5A171-FA0F-42CB-87C7-9FFEFC2800EC}" xr6:coauthVersionLast="47" xr6:coauthVersionMax="47" xr10:uidLastSave="{00000000-0000-0000-0000-000000000000}"/>
  <bookViews>
    <workbookView xWindow="-120" yWindow="-120" windowWidth="29040" windowHeight="15720" xr2:uid="{89084A5C-62F7-4402-9527-9AFD86D07F17}"/>
  </bookViews>
  <sheets>
    <sheet name="Metamodel" sheetId="1" r:id="rId1"/>
    <sheet name="Implementation" sheetId="2" r:id="rId2"/>
    <sheet name="Metamodel - Classification" sheetId="6" state="hidden" r:id="rId3"/>
    <sheet name="Implementation - Query" sheetId="5" state="hidden"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<sst xmlns="http://schemas.openxmlformats.org/spreadsheetml/2006/main" count="108" uniqueCount="59">
  <si>
    <t>ID</t>
  </si>
  <si>
    <t>Description</t>
  </si>
  <si>
    <t>Rule</t>
  </si>
  <si>
    <t>derivation</t>
  </si>
  <si>
    <t>Type</t>
  </si>
  <si>
    <t>instantiation</t>
  </si>
  <si>
    <t>For any two Entities, one Entity protects the other if and only if there exist a Vulnerability and a Capability such that the first Entity has the Vulnerability, the second Entity has the Capability, and the Capability disables the Vulnerability.</t>
  </si>
  <si>
    <t>For any two Entities, one Entity threatens the other if and only if there exist a Vulnerability and a Capability such that the first Entity has the Vulnerability, the second Entity has the Capability, and the Capability exploits the Vulnerability.</t>
  </si>
  <si>
    <t>classification</t>
  </si>
  <si>
    <t>NotResilientAsset</t>
  </si>
  <si>
    <t>For any Asset, if the Asset has at least one Capability that is not preserved by any Resilience, then the Asset is classified as a NotResilientAsset.</t>
  </si>
  <si>
    <r>
      <t xml:space="preserve">\forall e ( Asset(e) \land \exists c ( Capability(c) \land capabilities(e, c) \land \neg \exists r ( Resilience(r) \land preserves(r, c) ) ) </t>
    </r>
    <r>
      <rPr>
        <b/>
        <sz val="11"/>
        <color rgb="FFFF0000"/>
        <rFont val="Aptos Narrow"/>
        <family val="2"/>
        <scheme val="minor"/>
      </rPr>
      <t>\leftrightarrow</t>
    </r>
    <r>
      <rPr>
        <sz val="11"/>
        <color rgb="FFFF0000"/>
        <rFont val="Aptos Narrow"/>
        <family val="2"/>
        <scheme val="minor"/>
      </rPr>
      <t xml:space="preserve"> NotResilientAsset(e) )</t>
    </r>
  </si>
  <si>
    <t>For any Vulnerability and Capability, the Vulnerability can expose the Capability if and only if both are associated to the same Entity.</t>
  </si>
  <si>
    <t>For every two Dispositions, if the first Disposition disables the second Disposition, then the first Disposition has state ENABLED and the second Disposition has state DISABLED.
(I.e., a disposition with state DISABLED cannot disable another Disposition, and a Disposition that is target in a disables relation has state DISABLED)</t>
  </si>
  <si>
    <t>An entity inhibits another if and only if it has a capability that disables a vulnerability, while the inhibited entity has a capability that exploits the same vulnerability.</t>
  </si>
  <si>
    <r>
      <t xml:space="preserve">\forall o1, o2 ( Entity(o1) \land Entity(o2) \land \exists v1, c2 ( \land Vulnerability(v1) \land Capability(c2) \land vulnerabilities(o1, v1) \land capabilities(o2, c2) \land disables(c2, v1) ) </t>
    </r>
    <r>
      <rPr>
        <b/>
        <sz val="11"/>
        <rFont val="Aptos Narrow"/>
        <family val="2"/>
        <scheme val="minor"/>
      </rPr>
      <t xml:space="preserve">\leftrightarrow </t>
    </r>
    <r>
      <rPr>
        <sz val="11"/>
        <rFont val="Aptos Narrow"/>
        <family val="2"/>
        <scheme val="minor"/>
      </rPr>
      <t>protects(o2, o1) )</t>
    </r>
  </si>
  <si>
    <r>
      <t xml:space="preserve">\forall d1, d2 ( Disposition(d1) \land Disposition(d2) \land disables(d1, d2) </t>
    </r>
    <r>
      <rPr>
        <b/>
        <sz val="11"/>
        <rFont val="Aptos Narrow"/>
        <family val="2"/>
        <scheme val="minor"/>
      </rPr>
      <t>\rightarrow</t>
    </r>
    <r>
      <rPr>
        <sz val="11"/>
        <rFont val="Aptos Narrow"/>
        <family val="2"/>
        <scheme val="minor"/>
      </rPr>
      <t xml:space="preserve"> state(d1) = ENABLED \land state(d2) = DISABLED )</t>
    </r>
  </si>
  <si>
    <r>
      <t xml:space="preserve">\forall o1, o2 ( Entity(o1) \land Entity(o2) \land \exists v1, c2 ( \land Vulnerability(v1) \land Capability(c2) \land vulnerabilities(o1, v1) \land capabilities(o2, c2) \land disables(c2, v1) ) \land \neg protects(o2, o1) </t>
    </r>
    <r>
      <rPr>
        <b/>
        <sz val="11"/>
        <rFont val="Aptos Narrow"/>
        <family val="2"/>
        <scheme val="minor"/>
      </rPr>
      <t xml:space="preserve">\rightarrow </t>
    </r>
    <r>
      <rPr>
        <sz val="11"/>
        <rFont val="Aptos Narrow"/>
        <family val="2"/>
        <scheme val="minor"/>
      </rPr>
      <t>protects(o2, o1) )</t>
    </r>
  </si>
  <si>
    <t>\forall o2, o3 ( Entity(o2) \land Entity(o3) \land \exists c2, c3, v1 ( \land Capability(c2) \land Capability(c3) \land capabilities(o2, c2) \land capabilities(o3, c3) \land Vulnerability(v1) \land disables(c2, v1) \land exploits(c3, v1) ) \leftrightarrow inhibits(o2, o3) )</t>
  </si>
  <si>
    <r>
      <t xml:space="preserve">\forall o1, o3 Entity(o1) \land Entity(o3) \land ( \exists v1, c3 ( Vulnerability(v1) \land Capability(c3) \land vulnerabilities(o1, v1) \land capabilities(o3, c3) \land exploits(o3, v1) ) \land \neg threatens(o3, o1) </t>
    </r>
    <r>
      <rPr>
        <b/>
        <sz val="11"/>
        <rFont val="Aptos Narrow"/>
        <family val="2"/>
        <scheme val="minor"/>
      </rPr>
      <t xml:space="preserve">\rightarrow </t>
    </r>
    <r>
      <rPr>
        <sz val="11"/>
        <rFont val="Aptos Narrow"/>
        <family val="2"/>
        <scheme val="minor"/>
      </rPr>
      <t>threatens(o3, o1) )</t>
    </r>
  </si>
  <si>
    <r>
      <t xml:space="preserve">\forall d1, d2 ( Disposition(d1) \land Disposition(d2) \land disables(d1, d2) \land (state(d1) = DISABLED \lor state(d2) = ENABLED) </t>
    </r>
    <r>
      <rPr>
        <b/>
        <sz val="11"/>
        <color theme="1"/>
        <rFont val="Aptos Narrow"/>
        <family val="2"/>
        <scheme val="minor"/>
      </rPr>
      <t>\rightarrow</t>
    </r>
    <r>
      <rPr>
        <sz val="11"/>
        <color theme="1"/>
        <rFont val="Aptos Narrow"/>
        <family val="2"/>
        <scheme val="minor"/>
      </rPr>
      <t xml:space="preserve"> state(d1) = ENABLED \land state(d2) = DISABLED )</t>
    </r>
  </si>
  <si>
    <r>
      <t xml:space="preserve">\forall o2, o3 ( Entity(o2) \land Entity(o3)  \land \exists c2, c3, v1 ( \land Capability(c2) \land Capability(c3) \land capabilities(o2, c2) \land capabilities(o3, c3) \land Vulnerability(v1) \land disables(c2, v1) \land exploits(c3, v1) ) \land \neg inhibits(o2, o3) </t>
    </r>
    <r>
      <rPr>
        <b/>
        <sz val="11"/>
        <color theme="1"/>
        <rFont val="Aptos Narrow"/>
        <family val="2"/>
        <scheme val="minor"/>
      </rPr>
      <t xml:space="preserve">\rightarrow </t>
    </r>
    <r>
      <rPr>
        <sz val="11"/>
        <color theme="1"/>
        <rFont val="Aptos Narrow"/>
        <family val="2"/>
        <scheme val="minor"/>
      </rPr>
      <t>inhibits(o2, o3) )</t>
    </r>
  </si>
  <si>
    <r>
      <t xml:space="preserve">\forall o1, c1, v1, o2, c2, o3, c3 ( Entity(o1) \land Entity(o2) \land Entity(o3) \land Capability(c1) \land Capability(c2) \land Capability(c3) \land Vulnerability(v1) \land capabilities(o1, c1) \land vulnerabilities(o1, v1) \land capabilities(o2, c2) \land capabilities(o3, c3) \land disables(c2, v1) \land exposes(v1, c1) \land exploits(c3, v1) </t>
    </r>
    <r>
      <rPr>
        <b/>
        <sz val="11"/>
        <color theme="1"/>
        <rFont val="Aptos Narrow"/>
        <family val="2"/>
        <scheme val="minor"/>
      </rPr>
      <t xml:space="preserve">\rightarrow </t>
    </r>
    <r>
      <rPr>
        <sz val="11"/>
        <color theme="1"/>
        <rFont val="Aptos Narrow"/>
        <family val="2"/>
        <scheme val="minor"/>
      </rPr>
      <t xml:space="preserve">\exists! r ( Resilience(r) \land resiliences(o1, r) \land preserves(r, c1) \land preservesAgainst(r, c3) \land preservesDespite(r, v1) \land sustains(c2, r) ) ) </t>
    </r>
  </si>
  <si>
    <t>For any three Entities, three Capabilities, and one Vulnerability, if the first Entity has a Capability and a Vulnerability, the second Entity has a Capability that is ENABLED and disables the Vulnerability, and the Vulnerability exposes the first Entity’s Capability while being exploited by the Capability of the third Entity, then there exists exactly one Resilience such that the first Entity has the Resilience, the Resilience preserves the first Entity’s Capability, the Resilience preserves against the third Entity’s Capability, the Resilience preserves despite the Vulnerability, and the Resilience is sustained by the second Entity’s Capability.</t>
  </si>
  <si>
    <t>For any two Entities, the second Entity negativeDamage the first Entity if and only if both Entities exist and there exists a first Capability, a Vulnerability, and a second Capability such that: (i) the first Entity has the first Capability, (ii) the first Entity has the Vulnerability, (iii) the second Entity has the second Capability, (iv) the second Capability exploits the Vulnerability, (v) the Vulnerability exposes the first Capability, (vi) the Vulnerability is DISABLED, and (vii) the second Capability is ENABLED.</t>
  </si>
  <si>
    <t>\forall o1, o2 ( ( Entity(o1) \land Entity(o2) \land \exists c1, v1, c2 ( Capability(c1) \land Vulnerability(v1) \land Capability(c2) \land capabilities(o1, c1) \land vulnerabilities(o1, v1) \land capabilities(o2, c2) \land exploits(c2, v1) \land exposes(v1, c1) \land state(v1) = DISABLED \land state(c2) = ENABLED ) ) \leftrightarrow negativeDamage(o2, o1) )</t>
  </si>
  <si>
    <t>For any two Entities, the second Entity positiveDamage the first Entity if and only if both Entities exist and there exists a first Capability, a Vulnerability, and a second Capability such that: (i) the first Entity has the first Capability, (ii) the first Entity has the Vulnerability, (iii) the second Entity has the second Capability, (iv) the second Capability exploits the Vulnerability, (v) the Vulnerability exposes the first Capability, and (vi) both the Vulnerability and the second Capability are ENABLED.</t>
  </si>
  <si>
    <t>\forall o1, o2 ( ( Entity(o1) \land Entity(o2) \land \exists c1, v1, c2 ( Capability(c1) \land Vulnerability(v1) \land Capability(c2) \land capabilities(o1, c1) \land vulnerabilities(o1, v1) \land capabilities(o2, c2) \land exploits(c2, v1) \land exposes(v1, c1) \land state(v1) = ENABLED \land state(c2) = ENABLED ) ) \leftrightarrow positiveDamage(o2, o1) )</t>
  </si>
  <si>
    <r>
      <t xml:space="preserve">\forall s ( Scenario(s) </t>
    </r>
    <r>
      <rPr>
        <b/>
        <sz val="11"/>
        <rFont val="Aptos Narrow"/>
        <family val="2"/>
        <scheme val="minor"/>
      </rPr>
      <t>\rightarrow</t>
    </r>
    <r>
      <rPr>
        <sz val="11"/>
        <rFont val="Aptos Narrow"/>
        <family val="2"/>
        <scheme val="minor"/>
      </rPr>
      <t xml:space="preserve"> ( ( situation(s) = INCIDENT </t>
    </r>
    <r>
      <rPr>
        <b/>
        <sz val="11"/>
        <rFont val="Aptos Narrow"/>
        <family val="2"/>
        <scheme val="minor"/>
      </rPr>
      <t>\rightarrow</t>
    </r>
    <r>
      <rPr>
        <sz val="11"/>
        <rFont val="Aptos Narrow"/>
        <family val="2"/>
        <scheme val="minor"/>
      </rPr>
      <t xml:space="preserve"> ( \forall x, y ( positiveDamage(x, y) </t>
    </r>
    <r>
      <rPr>
        <b/>
        <sz val="11"/>
        <rFont val="Aptos Narrow"/>
        <family val="2"/>
        <scheme val="minor"/>
      </rPr>
      <t>\rightarrow</t>
    </r>
    <r>
      <rPr>
        <sz val="11"/>
        <rFont val="Aptos Narrow"/>
        <family val="2"/>
        <scheme val="minor"/>
      </rPr>
      <t xml:space="preserve"> damaged(x, y) ) \land \forall x, y ( negativeDamage(x, y) </t>
    </r>
    <r>
      <rPr>
        <b/>
        <sz val="11"/>
        <rFont val="Aptos Narrow"/>
        <family val="2"/>
        <scheme val="minor"/>
      </rPr>
      <t>\rightarrow</t>
    </r>
    <r>
      <rPr>
        <sz val="11"/>
        <rFont val="Aptos Narrow"/>
        <family val="2"/>
        <scheme val="minor"/>
      </rPr>
      <t xml:space="preserve"> notDamaged(x, y) ) ) ) \land ( situation(s) = OPERATIONAL </t>
    </r>
    <r>
      <rPr>
        <b/>
        <sz val="11"/>
        <rFont val="Aptos Narrow"/>
        <family val="2"/>
        <scheme val="minor"/>
      </rPr>
      <t>\rightarrow</t>
    </r>
    <r>
      <rPr>
        <sz val="11"/>
        <rFont val="Aptos Narrow"/>
        <family val="2"/>
        <scheme val="minor"/>
      </rPr>
      <t xml:space="preserve"> ( \forall x, y ( positiveDamage(x, y) </t>
    </r>
    <r>
      <rPr>
        <b/>
        <sz val="11"/>
        <rFont val="Aptos Narrow"/>
        <family val="2"/>
        <scheme val="minor"/>
      </rPr>
      <t>\rightarrow</t>
    </r>
    <r>
      <rPr>
        <sz val="11"/>
        <rFont val="Aptos Narrow"/>
        <family val="2"/>
        <scheme val="minor"/>
      </rPr>
      <t xml:space="preserve"> canDamage(x, y) ) \land \forall x, y ( negativeDamage(x, y) </t>
    </r>
    <r>
      <rPr>
        <b/>
        <sz val="11"/>
        <rFont val="Aptos Narrow"/>
        <family val="2"/>
        <scheme val="minor"/>
      </rPr>
      <t>\rightarrow</t>
    </r>
    <r>
      <rPr>
        <sz val="11"/>
        <rFont val="Aptos Narrow"/>
        <family val="2"/>
        <scheme val="minor"/>
      </rPr>
      <t xml:space="preserve"> cannotDamage(x, y) ) ) ) ) ) </t>
    </r>
  </si>
  <si>
    <t>In any scenario, if the situation is INCIDENT, then if a positiveDamage event occurs between two entities, they become damaged, and if a negativeDamage event occurs between two entities, they become notDamaged. If the situation is OPERATIONAL, then if a positiveDamage event occurs between two entities, they can become canDamage, and if a negativeDamage event occurs between two entities, they become cannotDamage.</t>
  </si>
  <si>
    <r>
      <t xml:space="preserve">\forall o1, o2 ( ( Entity(o1) \land Entity(o2) \land \exists c1, v1, c2 ( Capability(c1) \land Vulnerability(v1) \land Capability(c2) \land capabilities(o1, c1) \land vulnerabilities(o1, v1) \land capabilities(o2, c2) \land exploits(c2, v1) \land exposes(v1, c1) \land state(v1) = DISABLED \land state(c2) = ENABLED ) ) \land \neg negativeDamage(o2, o1) </t>
    </r>
    <r>
      <rPr>
        <b/>
        <sz val="11"/>
        <rFont val="Aptos Narrow"/>
        <family val="2"/>
        <scheme val="minor"/>
      </rPr>
      <t>\rightarrow</t>
    </r>
    <r>
      <rPr>
        <sz val="11"/>
        <rFont val="Aptos Narrow"/>
        <family val="2"/>
        <scheme val="minor"/>
      </rPr>
      <t xml:space="preserve"> negativeDamage(o2, o1) )</t>
    </r>
  </si>
  <si>
    <t xml:space="preserve">\forall s ( Scenario(s) \rightarrow ( ( situation(s) = INCIDENT \rightarrow ( \forall x, y ( positiveDamage(x, y) \land \neg damaged(x, y) \rightarrow damaged(x, y) ) \land \forall x, y ( negativeDamage(x, y) \land \neg notDamaged(x, y) \rightarrow notDamaged(x, y) ) ) ) \land ( situation(s) = OPERATIONAL \rightarrow ( \forall x, y ( positiveDamage(x, y) \land \neg canDamage(x, y) \rightarrow canDamage(x, y) ) \land \forall x, y ( negativeDamage(x, y) \land \neg cannotDamage(x, y) \rightarrow cannotDamage(x, y) ) ) ) ) ) </t>
  </si>
  <si>
    <r>
      <t>\forall s, o1, o2 ( Scenario(s) \land Entity(o1) \land Entity(o2) \land components(s, o1) \land components(s, o2) \land \exists c1, v1, c2 ( Capability(c1) \land Vulnerability(v1) \land Capability(c2) \land capabilities(o1, c1) \land vulnerabilities(o1, v1) \land capabilities(o2, c2) \land exploits(c2, v1) \land exposes(v1, c1) \land state(v1) = ENABLED \land state(c2) = ENABLED  \land \neg positiveDamage(o2, o1)</t>
    </r>
    <r>
      <rPr>
        <b/>
        <sz val="11"/>
        <rFont val="Aptos Narrow"/>
        <family val="2"/>
        <scheme val="minor"/>
      </rPr>
      <t xml:space="preserve"> \rightarrow </t>
    </r>
    <r>
      <rPr>
        <sz val="11"/>
        <rFont val="Aptos Narrow"/>
        <family val="2"/>
        <scheme val="minor"/>
      </rPr>
      <t>status(s) = VULNERABLE \land positiveDamage(o2, o1) )</t>
    </r>
  </si>
  <si>
    <r>
      <t xml:space="preserve">\forall s ( Scenario(s) </t>
    </r>
    <r>
      <rPr>
        <b/>
        <sz val="11"/>
        <rFont val="Aptos Narrow"/>
        <family val="2"/>
        <scheme val="minor"/>
      </rPr>
      <t>\rightarrow</t>
    </r>
    <r>
      <rPr>
        <sz val="11"/>
        <rFont val="Aptos Narrow"/>
        <family val="2"/>
        <scheme val="minor"/>
      </rPr>
      <t xml:space="preserve"> ( \exists o, v ( components(s, o) \land vulnerabilities(o, v) \land state(v) = ENABLED \land \exists c (Capability(c) \land exploits(c, v)) ) </t>
    </r>
    <r>
      <rPr>
        <b/>
        <sz val="11"/>
        <rFont val="Aptos Narrow"/>
        <family val="2"/>
        <scheme val="minor"/>
      </rPr>
      <t xml:space="preserve">\leftrightarrow </t>
    </r>
    <r>
      <rPr>
        <sz val="11"/>
        <rFont val="Aptos Narrow"/>
        <family val="2"/>
        <scheme val="minor"/>
      </rPr>
      <t>status(s) = VULNERABLE ) )</t>
    </r>
  </si>
  <si>
    <t>\forall s ( Scenario(s) \rightarrow ( status(s) = RESILIENT \leftrightarrow \neg (status(s) = VULNERABLE) ) )</t>
  </si>
  <si>
    <t>Each scenario can only be either VULNERABLE or RESILIENT.</t>
  </si>
  <si>
    <t xml:space="preserve">A scenario is VULNERABLE if and only if it has an enabled vulnerability exploited by a capability.
</t>
  </si>
  <si>
    <r>
      <t xml:space="preserve">\forall s ( Scenario(s) \land status(s) = VULNERABLE \land \neg \exists o1, v1 ( components(s, o1) \land vulnerabilities(o1, v1) \land state(v1) = ENABLED \land \exists c1 (Capability(c1) \land exploits(c1, v1)) ) </t>
    </r>
    <r>
      <rPr>
        <b/>
        <sz val="11"/>
        <rFont val="Aptos Narrow"/>
        <family val="2"/>
        <scheme val="minor"/>
      </rPr>
      <t>\rightarrow</t>
    </r>
    <r>
      <rPr>
        <sz val="11"/>
        <rFont val="Aptos Narrow"/>
        <family val="2"/>
        <scheme val="minor"/>
      </rPr>
      <t xml:space="preserve"> status(s) = RESILIENT ) \land \forall s ( Scenario(s) \land \exists o1, v1 ( components(s, o1) \land vulnerabilities(o1, v1) \land state(v1) = ENABLED \land \exists c1 (Capability(c1) \land exploits(c1, v1)) ) \rightarrow status(s) = VULNERABLE ) </t>
    </r>
  </si>
  <si>
    <t>Related Implmentation Rules</t>
  </si>
  <si>
    <t xml:space="preserve">\forall r, s ( Scenario(s) \land Resilience(r) \land ( ( \exists c_1 (preserves(r, c_1) \land components(s, c_1) ) ) \lor (\exists c_2 (preservesAgainst(r, c_2) \land components(s, c_2) ) ) \lor (\exists v (preservesDespite(r, v) \land components(s, v) ) ) \lor (\exists c_3 (sustains(c_3, r) \land components(s, c_3) ) ) ) \rightarrow components(s, r) ) </t>
  </si>
  <si>
    <t xml:space="preserve">\forall r, s ( Resilience(r) \land Scenario(s) \rightarrow ( components(s, r) \leftrightarrow ( \forall c_1 (preserves(r, c_1) \rightarrow components(s, c_1) ) \land \forall c_2 (preservesAgainst(r, c_2) \rightarrow components(s, c_2) ) \land \forall v (preservesDespite(r, v) \rightarrow components(s, v) ) \land \forall c_3 (sustains(c_3, r) \rightarrow components(s, c_3) ) ) ) ) </t>
  </si>
  <si>
    <t>A Resilience is part of a Scenario if and only if all the elements it is related to via its core semantic relations are also part of the same Scenario. Specifically, a Resilience belongs to a Scenario if and only if all of the following conditions hold: every Capability that it preserves, every Capability it preserves against, every Vulnerability it preserves despite, and every Capability that sustains it are also components of that Scenario.</t>
  </si>
  <si>
    <r>
      <t xml:space="preserve">\forall o1, c1, v1, o2, c2, o3, c3 ( Entity(o1) \land Entity(o2) \land Entity(o3) \land Capability(c1) \land Capability(c2) \land Capability(c3) \land Vulnerability(v1) \land capabilities(o1, c1) \land vulnerabilities(o1, v1) \land capabilities(o2, c2) \land capabilities(o3, c3) \land state(c2) = ENABLED \land disables(c2, v1) \land exposes(v1, c1) \land exploits(c3, v1) </t>
    </r>
    <r>
      <rPr>
        <b/>
        <sz val="11"/>
        <rFont val="Aptos Narrow"/>
        <family val="2"/>
        <scheme val="minor"/>
      </rPr>
      <t>\rightarrow</t>
    </r>
    <r>
      <rPr>
        <sz val="11"/>
        <rFont val="Aptos Narrow"/>
        <family val="2"/>
        <scheme val="minor"/>
      </rPr>
      <t xml:space="preserve"> \exists! r ( Resilience(r) \land resiliences(o1, r) \land preserves(r, c1) \land preservesAgainst(r, c3) \land preservesDespite(r, v1) \land sustains(c2, r) ) )</t>
    </r>
  </si>
  <si>
    <t>scenario_damage</t>
  </si>
  <si>
    <t>disposition_state</t>
  </si>
  <si>
    <t>vulnerability_capability</t>
  </si>
  <si>
    <t>entity_inhibits</t>
  </si>
  <si>
    <t>entity_damageNegative</t>
  </si>
  <si>
    <t>entity_damagePositive</t>
  </si>
  <si>
    <t>entity_protects</t>
  </si>
  <si>
    <t>resilience_participants</t>
  </si>
  <si>
    <t>scenario_status</t>
  </si>
  <si>
    <t>scenario_vulnerability</t>
  </si>
  <si>
    <t>entity_threatens</t>
  </si>
  <si>
    <t>resilience_scenario</t>
  </si>
  <si>
    <t>-</t>
  </si>
  <si>
    <t>re-implement and re-evaluate</t>
  </si>
  <si>
    <r>
      <t xml:space="preserve">\forall o1, o3 Entity(o1) \land Entity(o3) \land ( \exists v1, c3 ( Vulnerability(v1) \land Capability(c3) \land vulnerabilities(o1, v1) \land capabilities(o3, c3) \land exploits(c3, v1) ) </t>
    </r>
    <r>
      <rPr>
        <b/>
        <sz val="11"/>
        <rFont val="Aptos Narrow"/>
        <family val="2"/>
        <scheme val="minor"/>
      </rPr>
      <t>\leftrightarrow</t>
    </r>
    <r>
      <rPr>
        <sz val="11"/>
        <rFont val="Aptos Narrow"/>
        <family val="2"/>
        <scheme val="minor"/>
      </rPr>
      <t xml:space="preserve"> threatens(o3, o1) )</t>
    </r>
  </si>
  <si>
    <r>
      <t xml:space="preserve">\forall v, c ( Vulnerability(v) \land Capability(c) \land exposes(v, c) </t>
    </r>
    <r>
      <rPr>
        <b/>
        <sz val="11"/>
        <rFont val="Aptos Narrow"/>
        <family val="2"/>
        <scheme val="minor"/>
      </rPr>
      <t>\rightarrow</t>
    </r>
    <r>
      <rPr>
        <sz val="11"/>
        <rFont val="Aptos Narrow"/>
        <family val="2"/>
        <scheme val="minor"/>
      </rPr>
      <t xml:space="preserve"> \exists! o ( Entity(o) \land vulnerabilities(o, v) \land capabilities(o, c)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</si>
</sst>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i/>
      <sz val="11"/>
      <color theme="1"/>
      <name val="Aptos Narrow"/>
      <family val="2"/>
      <scheme val="minor"/>
    </font>
    <font>
      <sz val="11"/>
      <color rgb="FFFF0000"/>
      <name val="Aptos Narrow"/>
      <family val="2"/>
      <scheme val="minor"/>
    </font>
    <font>
      <b/>
      <sz val="11"/>
      <color rgb="FFFF0000"/>
      <name val="Aptos Narrow"/>
      <family val="2"/>
      <scheme val="minor"/>
    </font>
    <font>
      <b/>
      <i/>
      <sz val="11"/>
      <color rgb="FFFF0000"/>
      <name val="Aptos Narrow"/>
      <family val="2"/>
      <scheme val="minor"/>
    </font>
    <font>
      <b/>
      <sz val="11"/>
      <name val="Aptos Narrow"/>
      <family val="2"/>
      <scheme val="minor"/>
    </font>
    <font>
      <b/>
      <i/>
      <sz val="11"/>
      <name val="Aptos Narrow"/>
      <family val="2"/>
      <scheme val="minor"/>
    </font>
    <font>
      <sz val="11"/>
      <name val="Aptos Narrow"/>
      <family val="2"/>
      <scheme val="minor"/>
    </font>
    <font>
      <b/>
      <sz val="11"/>
      <color rgb="FFFFFFFF"/>
      <name val="Aptos Narrow"/>
      <family val="2"/>
      <scheme val="minor"/>
    </font>
  </fonts>
  <fills count="3">
    <fill>
      <patternFill patternType="none"/>
    </fill>
    <fill>
      <patternFill patternType="gray125"/>
    </fill>
    <fill>
      <patternFill patternType="solid">
        <fgColor rgb="FF196B24"/>
        <bgColor rgb="FF196B24"/>
      </patternFill>
    </fill>
  </fills>
  <borders count="2">
    <border>
      <left/>
      <right/>
      <top/>
      <bottom/>
      <diagonal/>
    </border>
    <border>
      <left/>
      <right/>
      <top style="medium">
        <color rgb="FF000000"/>
      </top>
      <bottom style="medium">
        <color rgb="FF000000"/>
      </bottom>
      <diagonal/>
    </border>
  </borders>
  <cellStyleXfs count="1">
    <xf numFmtId="0" fontId="0" fillId="0" borderId="0"/>
  </cellStyleXfs>
  <cellXfs count="17">
    <xf numFmtId="0" fontId="0" fillId="0" borderId="0" xfId="0"/>
    <xf numFmtId="0" fontId="1" fillId="0" borderId="0" xfId="0" applyFont="1" applyAlignment="1">
      <alignment horizontal="left" vertical="center"/>
    </xf>
    <xf numFmtId="0" fontId="0" fillId="0" borderId="0" xfId="0" applyAlignment="1">
      <alignment horizontal="left" vertical="center" wrapText="1"/>
    </xf>
    <xf numFmtId="0" fontId="2" fillId="0" borderId="0" xfId="0" applyFont="1" applyAlignment="1">
      <alignment horizontal="left" vertical="center"/>
    </xf>
    <xf numFmtId="0" fontId="0" fillId="0" borderId="0" xfId="0" applyAlignment="1">
      <alignment vertical="center"/>
    </xf>
    <xf numFmtId="0" fontId="4" fillId="0" borderId="0" xfId="0" applyFont="1"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wrapText="1"/>
    </xf>
    <xf numFmtId="0" fontId="6"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wrapText="1"/>
    </xf>
    <xf numFmtId="0" fontId="8" fillId="0" borderId="0" xfId="0" applyFont="1" applyAlignment="1">
      <alignment vertical="center" wrapText="1"/>
    </xf>
    <xf numFmtId="0" fontId="0" fillId="0" borderId="0" xfId="0" applyAlignment="1">
      <alignment vertical="center" wrapText="1"/>
    </xf>
    <xf numFmtId="0" fontId="8" fillId="0" borderId="0" xfId="0" applyFont="1" applyAlignment="1">
      <alignment horizontal="left" vertical="center"/>
    </xf>
    <xf numFmtId="0" fontId="0" fillId="0" borderId="0" xfId="0" applyAlignment="1">
      <alignment horizontal="left" vertical="center"/>
    </xf>
    <xf numFmtId="0" fontId="9" fillId="2" borderId="1" xfId="0" applyFont="1" applyFill="1" applyBorder="1" applyAlignment="1">
      <alignment vertical="center"/>
    </xf>
    <xf numFmtId="0" fontId="4" fillId="0" borderId="0" xfId="0" applyFont="1" applyAlignment="1">
      <alignment vertical="center"/>
    </xf>
  </cellXfs>
  <cellStyles count="1">
    <cellStyle name="Normal" xfId="0" builtinId="0"/>
  </cellStyles>
  <dxfs count="2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vertical="center" textRotation="0" wrapText="0"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alignment vertical="center"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font>
        <strike val="0"/>
        <outline val="0"/>
        <shadow val="0"/>
        <u val="none"/>
        <vertAlign val="baseline"/>
        <sz val="11"/>
        <color theme="5"/>
        <name val="Aptos Narrow"/>
        <family val="2"/>
        <scheme val="minor"/>
      </font>
      <alignment horizontal="left" vertical="center" textRotation="0" wrapText="1"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alignment vertical="center" textRotation="0" indent="0" justifyLastLine="0" shrinkToFit="0" readingOrder="0"/>
    </dxf>
    <dxf>
      <font>
        <strike val="0"/>
        <outline val="0"/>
        <shadow val="0"/>
        <u val="none"/>
        <vertAlign val="baseline"/>
        <sz val="11"/>
        <color auto="1"/>
        <name val="Aptos Narrow"/>
        <family val="2"/>
        <scheme val="minor"/>
      </font>
      <alignment horizontal="left" vertical="center" textRotation="0" indent="0" justifyLastLine="0" shrinkToFit="0" readingOrder="0"/>
    </dxf>
    <dxf>
      <font>
        <strike val="0"/>
        <outline val="0"/>
        <shadow val="0"/>
        <u val="none"/>
        <vertAlign val="baseline"/>
        <sz val="11"/>
        <color auto="1"/>
        <name val="Aptos Narrow"/>
        <family val="2"/>
        <scheme val="minor"/>
      </font>
      <alignment horizontal="left" vertical="center" textRotation="0" wrapText="1" indent="0" justifyLastLine="0" shrinkToFit="0" readingOrder="0"/>
    </dxf>
    <dxf>
      <font>
        <strike val="0"/>
        <outline val="0"/>
        <shadow val="0"/>
        <u val="none"/>
        <vertAlign val="baseline"/>
        <sz val="11"/>
        <color auto="1"/>
        <name val="Aptos Narrow"/>
        <family val="2"/>
        <scheme val="minor"/>
      </font>
      <alignment horizontal="left" vertical="center" textRotation="0" wrapText="1" indent="0" justifyLastLine="0" shrinkToFit="0" readingOrder="0"/>
    </dxf>
    <dxf>
      <font>
        <b/>
        <strike val="0"/>
        <outline val="0"/>
        <shadow val="0"/>
        <u val="none"/>
        <vertAlign val="baseline"/>
        <sz val="11"/>
        <color auto="1"/>
        <name val="Aptos Narrow"/>
        <family val="2"/>
        <scheme val="minor"/>
      </font>
      <numFmt numFmtId="0" formatCode="General"/>
      <alignment horizontal="left" vertical="center" textRotation="0" indent="0" justifyLastLine="0" shrinkToFit="0" readingOrder="0"/>
    </dxf>
    <dxf>
      <font>
        <strike val="0"/>
        <outline val="0"/>
        <shadow val="0"/>
        <u val="none"/>
        <vertAlign val="baseline"/>
        <sz val="11"/>
        <color auto="1"/>
        <name val="Aptos Narrow"/>
        <family val="2"/>
        <scheme val="minor"/>
      </font>
      <alignment horizontal="lef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AA19EC-8B06-4B50-9281-3B528691A616}" name="Table2" displayName="Table2" ref="A1:D13" totalsRowShown="0" dataDxfId="26">
  <autoFilter ref="A1:D13" xr:uid="{6A61511C-102D-4762-9C27-47AA11DC235F}"/>
  <sortState xmlns:xlrd2="http://schemas.microsoft.com/office/spreadsheetml/2017/richdata2" ref="A2:D13">
    <sortCondition ref="A1:A12"/>
  </sortState>
  <tableColumns count="4">
    <tableColumn id="1" xr3:uid="{6D44803A-FA6F-4387-8AE2-D6904BF340C0}" name="ID" dataDxfId="25"/>
    <tableColumn id="9" xr3:uid="{DC1C6A68-12DE-4142-8148-6524BAFF4555}" name="Description" dataDxfId="24"/>
    <tableColumn id="7" xr3:uid="{B06AC0DE-69E3-46CD-A38E-29859BCF0AF7}" name="Rule" dataDxfId="23"/>
    <tableColumn id="2" xr3:uid="{5DADDA6A-1855-4569-BEAA-F2D98603027C}" name="Related Implmentation Rules" dataDxfId="22"/>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C57CC3-8775-470D-BF25-2976FBA37329}" name="Table23" displayName="Table23" ref="A1:D11" totalsRowShown="0" headerRowDxfId="21" dataDxfId="20">
  <autoFilter ref="A1:D11" xr:uid="{3EC57CC3-8775-470D-BF25-2976FBA37329}"/>
  <sortState xmlns:xlrd2="http://schemas.microsoft.com/office/spreadsheetml/2017/richdata2" ref="A2:D11">
    <sortCondition ref="A1:A11"/>
  </sortState>
  <tableColumns count="4">
    <tableColumn id="1" xr3:uid="{7583DACA-EA4E-4F15-A3CE-26B92A7CEDCD}" name="ID" dataDxfId="19"/>
    <tableColumn id="3" xr3:uid="{008D278D-04CC-4C24-B634-B5F450BB2DA5}" name="Type" dataDxfId="18"/>
    <tableColumn id="7" xr3:uid="{21EC58EF-8D6C-4DA1-A4E2-612F16715A40}" name="Rule" dataDxfId="17"/>
    <tableColumn id="2" xr3:uid="{71F8A70E-3DB7-4EC5-83DE-0915BE50683B}" name="Related Implmentation Rules" dataDxfId="16"/>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2D1344-8725-48F8-957F-E5C83D920FDD}" name="Table25" displayName="Table25" ref="A1:D2" totalsRowShown="0" dataDxfId="15">
  <autoFilter ref="A1:D2" xr:uid="{6A61511C-102D-4762-9C27-47AA11DC235F}"/>
  <tableColumns count="4">
    <tableColumn id="1" xr3:uid="{D5AB007C-DB2C-46F7-903D-D4BA2CFC812B}" name="ID" dataDxfId="14"/>
    <tableColumn id="3" xr3:uid="{66D0C608-C4B7-4D49-B1ED-9992DA2A49CE}" name="Type" dataDxfId="13"/>
    <tableColumn id="9" xr3:uid="{EDD43604-6EE5-4E36-93B5-30A7862D2CCF}" name="Description" dataDxfId="12"/>
    <tableColumn id="7" xr3:uid="{9E33B5F8-115B-44F0-8305-33C2E63AEA68}" name="Rule" dataDxfId="11"/>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2AFD4E-30D4-4730-A8B0-1E3F3E885DFE}" name="Table234" displayName="Table234" ref="A1:C9" totalsRowShown="0" headerRowDxfId="10" dataDxfId="9">
  <autoFilter ref="A1:C9" xr:uid="{3EC57CC3-8775-470D-BF25-2976FBA37329}"/>
  <tableColumns count="3">
    <tableColumn id="1" xr3:uid="{C92D44FB-A4E2-4AE2-B673-41DD5963DAA4}" name="ID" dataDxfId="8"/>
    <tableColumn id="3" xr3:uid="{1A1F2BC5-A7C6-418E-A5DF-B00FFF0F7CA9}" name="Type" dataDxfId="7"/>
    <tableColumn id="7" xr3:uid="{E1B65664-5172-4AAC-B407-996BA4F71691}" name="Rule" dataDxfId="6"/>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BCFF9-7824-429D-B376-50383C5C9673}">
  <sheetPr>
    <tabColor theme="6"/>
  </sheetPr>
  <dimension ref="A1:D14"/>
  <sheetViews>
    <sheetView tabSelected="1" topLeftCell="C1" zoomScaleNormal="100" workbookViewId="0">
      <pane ySplit="1" topLeftCell="A8" activePane="bottomLeft" state="frozen"/>
      <selection pane="bottomLeft" activeCell="C13" sqref="C13"/>
    </sheetView>
  </sheetViews>
  <sheetFormatPr defaultRowHeight="15" x14ac:dyDescent="0.25"/>
  <cols>
    <col min="1" max="1" width="20.28515625" bestFit="1" customWidth="1"/>
    <col min="2" max="2" width="185.42578125" customWidth="1"/>
    <col min="3" max="3" width="135.140625" customWidth="1"/>
    <col min="4" max="4" width="27.85546875" bestFit="1" customWidth="1"/>
  </cols>
  <sheetData>
    <row r="1" spans="1:4" x14ac:dyDescent="0.25">
      <c r="A1" t="s">
        <v>0</v>
      </c>
      <c r="B1" t="s">
        <v>1</v>
      </c>
      <c r="C1" t="s">
        <v>2</v>
      </c>
      <c r="D1" t="s">
        <v>38</v>
      </c>
    </row>
    <row r="2" spans="1:4" ht="75" customHeight="1" x14ac:dyDescent="0.25">
      <c r="A2" s="8" t="s">
        <v>44</v>
      </c>
      <c r="B2" s="10" t="s">
        <v>13</v>
      </c>
      <c r="C2" s="10" t="s">
        <v>16</v>
      </c>
      <c r="D2" s="13" t="s">
        <v>44</v>
      </c>
    </row>
    <row r="3" spans="1:4" ht="75" customHeight="1" x14ac:dyDescent="0.25">
      <c r="A3" s="8" t="s">
        <v>47</v>
      </c>
      <c r="B3" s="10" t="s">
        <v>24</v>
      </c>
      <c r="C3" s="10" t="s">
        <v>25</v>
      </c>
      <c r="D3" s="13" t="s">
        <v>47</v>
      </c>
    </row>
    <row r="4" spans="1:4" ht="75" customHeight="1" x14ac:dyDescent="0.25">
      <c r="A4" s="8" t="s">
        <v>48</v>
      </c>
      <c r="B4" s="10" t="s">
        <v>26</v>
      </c>
      <c r="C4" s="10" t="s">
        <v>27</v>
      </c>
      <c r="D4" s="13" t="s">
        <v>48</v>
      </c>
    </row>
    <row r="5" spans="1:4" ht="75" customHeight="1" x14ac:dyDescent="0.25">
      <c r="A5" s="8" t="s">
        <v>46</v>
      </c>
      <c r="B5" s="10" t="s">
        <v>14</v>
      </c>
      <c r="C5" s="10" t="s">
        <v>18</v>
      </c>
      <c r="D5" s="13" t="s">
        <v>46</v>
      </c>
    </row>
    <row r="6" spans="1:4" ht="75" customHeight="1" x14ac:dyDescent="0.25">
      <c r="A6" s="8" t="s">
        <v>49</v>
      </c>
      <c r="B6" s="10" t="s">
        <v>6</v>
      </c>
      <c r="C6" s="10" t="s">
        <v>15</v>
      </c>
      <c r="D6" s="13" t="s">
        <v>49</v>
      </c>
    </row>
    <row r="7" spans="1:4" ht="75" customHeight="1" x14ac:dyDescent="0.25">
      <c r="A7" s="8" t="s">
        <v>53</v>
      </c>
      <c r="B7" s="10" t="s">
        <v>7</v>
      </c>
      <c r="C7" s="10" t="s">
        <v>57</v>
      </c>
      <c r="D7" s="13" t="s">
        <v>53</v>
      </c>
    </row>
    <row r="8" spans="1:4" ht="75" customHeight="1" x14ac:dyDescent="0.25">
      <c r="A8" s="8" t="s">
        <v>50</v>
      </c>
      <c r="B8" s="10" t="s">
        <v>23</v>
      </c>
      <c r="C8" s="10" t="s">
        <v>42</v>
      </c>
      <c r="D8" s="13" t="s">
        <v>50</v>
      </c>
    </row>
    <row r="9" spans="1:4" ht="75" customHeight="1" x14ac:dyDescent="0.25">
      <c r="A9" s="8" t="s">
        <v>54</v>
      </c>
      <c r="B9" s="10" t="s">
        <v>41</v>
      </c>
      <c r="C9" s="10" t="s">
        <v>40</v>
      </c>
      <c r="D9" s="13" t="s">
        <v>54</v>
      </c>
    </row>
    <row r="10" spans="1:4" ht="75" customHeight="1" x14ac:dyDescent="0.25">
      <c r="A10" s="8" t="s">
        <v>43</v>
      </c>
      <c r="B10" s="10" t="s">
        <v>29</v>
      </c>
      <c r="C10" s="10" t="s">
        <v>28</v>
      </c>
      <c r="D10" s="13" t="s">
        <v>43</v>
      </c>
    </row>
    <row r="11" spans="1:4" ht="75" customHeight="1" x14ac:dyDescent="0.25">
      <c r="A11" s="8" t="s">
        <v>51</v>
      </c>
      <c r="B11" s="10" t="s">
        <v>35</v>
      </c>
      <c r="C11" s="10" t="s">
        <v>34</v>
      </c>
      <c r="D11" s="13" t="s">
        <v>51</v>
      </c>
    </row>
    <row r="12" spans="1:4" ht="75" customHeight="1" x14ac:dyDescent="0.25">
      <c r="A12" s="8" t="s">
        <v>52</v>
      </c>
      <c r="B12" s="10" t="s">
        <v>36</v>
      </c>
      <c r="C12" s="10" t="s">
        <v>33</v>
      </c>
      <c r="D12" s="13" t="s">
        <v>52</v>
      </c>
    </row>
    <row r="13" spans="1:4" ht="75" customHeight="1" x14ac:dyDescent="0.25">
      <c r="A13" s="8" t="s">
        <v>45</v>
      </c>
      <c r="B13" s="10" t="s">
        <v>12</v>
      </c>
      <c r="C13" s="10" t="s">
        <v>58</v>
      </c>
      <c r="D13" s="13" t="s">
        <v>55</v>
      </c>
    </row>
    <row r="14" spans="1:4" ht="75" customHeight="1" x14ac:dyDescent="0.25"/>
  </sheetData>
  <conditionalFormatting sqref="A2:A995">
    <cfRule type="duplicateValues" dxfId="5" priority="78"/>
  </conditionalFormatting>
  <conditionalFormatting sqref="B2:C995">
    <cfRule type="duplicateValues" dxfId="4" priority="80"/>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46266-0A86-4978-80E4-B4AFAA127E85}">
  <sheetPr>
    <tabColor theme="8"/>
  </sheetPr>
  <dimension ref="A1:F11"/>
  <sheetViews>
    <sheetView workbookViewId="0">
      <pane ySplit="1" topLeftCell="A2" activePane="bottomLeft" state="frozen"/>
      <selection pane="bottomLeft" activeCell="A2" sqref="A2"/>
    </sheetView>
  </sheetViews>
  <sheetFormatPr defaultColWidth="9.140625" defaultRowHeight="15" x14ac:dyDescent="0.25"/>
  <cols>
    <col min="1" max="1" width="26" style="4" bestFit="1" customWidth="1"/>
    <col min="2" max="2" width="13.28515625" style="4" bestFit="1" customWidth="1"/>
    <col min="3" max="3" width="188.5703125" style="4" bestFit="1" customWidth="1"/>
    <col min="4" max="4" width="30.140625" style="4" bestFit="1" customWidth="1"/>
    <col min="5" max="16384" width="9.140625" style="4"/>
  </cols>
  <sheetData>
    <row r="1" spans="1:6" ht="15.75" thickBot="1" x14ac:dyDescent="0.3">
      <c r="A1" s="4" t="s">
        <v>0</v>
      </c>
      <c r="B1" s="4" t="s">
        <v>4</v>
      </c>
      <c r="C1" s="4" t="s">
        <v>2</v>
      </c>
      <c r="D1" s="15" t="s">
        <v>38</v>
      </c>
    </row>
    <row r="2" spans="1:6" ht="50.1" customHeight="1" x14ac:dyDescent="0.25">
      <c r="A2" s="1" t="s">
        <v>44</v>
      </c>
      <c r="B2" s="3" t="s">
        <v>3</v>
      </c>
      <c r="C2" s="2" t="s">
        <v>20</v>
      </c>
      <c r="D2" s="14" t="s">
        <v>44</v>
      </c>
    </row>
    <row r="3" spans="1:6" ht="50.1" customHeight="1" x14ac:dyDescent="0.25">
      <c r="A3" s="1" t="s">
        <v>47</v>
      </c>
      <c r="B3" s="3" t="s">
        <v>3</v>
      </c>
      <c r="C3" s="10" t="s">
        <v>30</v>
      </c>
      <c r="D3" s="14" t="s">
        <v>47</v>
      </c>
    </row>
    <row r="4" spans="1:6" ht="50.1" customHeight="1" x14ac:dyDescent="0.25">
      <c r="A4" s="1" t="s">
        <v>48</v>
      </c>
      <c r="B4" s="3" t="s">
        <v>3</v>
      </c>
      <c r="C4" s="10" t="s">
        <v>32</v>
      </c>
      <c r="D4" s="14" t="s">
        <v>48</v>
      </c>
    </row>
    <row r="5" spans="1:6" ht="50.1" customHeight="1" x14ac:dyDescent="0.25">
      <c r="A5" s="1" t="s">
        <v>46</v>
      </c>
      <c r="B5" s="3" t="s">
        <v>3</v>
      </c>
      <c r="C5" s="12" t="s">
        <v>21</v>
      </c>
      <c r="D5" s="14" t="s">
        <v>46</v>
      </c>
    </row>
    <row r="6" spans="1:6" ht="50.1" customHeight="1" x14ac:dyDescent="0.25">
      <c r="A6" s="8" t="s">
        <v>49</v>
      </c>
      <c r="B6" s="9" t="s">
        <v>3</v>
      </c>
      <c r="C6" s="11" t="s">
        <v>17</v>
      </c>
      <c r="D6" s="14" t="s">
        <v>49</v>
      </c>
    </row>
    <row r="7" spans="1:6" ht="50.1" customHeight="1" x14ac:dyDescent="0.25">
      <c r="A7" s="8" t="s">
        <v>53</v>
      </c>
      <c r="B7" s="9" t="s">
        <v>3</v>
      </c>
      <c r="C7" s="11" t="s">
        <v>19</v>
      </c>
      <c r="D7" s="14" t="s">
        <v>53</v>
      </c>
    </row>
    <row r="8" spans="1:6" ht="50.1" customHeight="1" x14ac:dyDescent="0.25">
      <c r="A8" s="1" t="s">
        <v>50</v>
      </c>
      <c r="B8" s="3" t="s">
        <v>5</v>
      </c>
      <c r="C8" s="2" t="s">
        <v>22</v>
      </c>
      <c r="D8" s="14" t="s">
        <v>50</v>
      </c>
    </row>
    <row r="9" spans="1:6" ht="50.1" customHeight="1" x14ac:dyDescent="0.25">
      <c r="A9" s="8" t="s">
        <v>54</v>
      </c>
      <c r="B9" s="9" t="s">
        <v>3</v>
      </c>
      <c r="C9" s="10" t="s">
        <v>39</v>
      </c>
      <c r="D9" s="13" t="s">
        <v>54</v>
      </c>
      <c r="F9" s="16" t="s">
        <v>56</v>
      </c>
    </row>
    <row r="10" spans="1:6" ht="50.1" customHeight="1" x14ac:dyDescent="0.25">
      <c r="A10" s="1" t="s">
        <v>43</v>
      </c>
      <c r="B10" s="3" t="s">
        <v>3</v>
      </c>
      <c r="C10" s="10" t="s">
        <v>31</v>
      </c>
      <c r="D10" s="14" t="s">
        <v>43</v>
      </c>
    </row>
    <row r="11" spans="1:6" ht="49.5" customHeight="1" x14ac:dyDescent="0.25">
      <c r="A11" s="8" t="s">
        <v>51</v>
      </c>
      <c r="B11" s="9" t="s">
        <v>3</v>
      </c>
      <c r="C11" s="10" t="s">
        <v>37</v>
      </c>
      <c r="D11" s="14" t="s">
        <v>51</v>
      </c>
    </row>
  </sheetData>
  <conditionalFormatting sqref="A2:A11">
    <cfRule type="duplicateValues" dxfId="3" priority="76"/>
  </conditionalFormatting>
  <conditionalFormatting sqref="C2:C11">
    <cfRule type="duplicateValues" dxfId="2" priority="77"/>
  </conditionalFormatting>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76A81-36BF-489D-86FE-F109877CC0B8}">
  <sheetPr>
    <tabColor theme="6" tint="0.79998168889431442"/>
  </sheetPr>
  <dimension ref="A1:D2"/>
  <sheetViews>
    <sheetView topLeftCell="D1" workbookViewId="0">
      <selection activeCell="D2" sqref="D2"/>
    </sheetView>
  </sheetViews>
  <sheetFormatPr defaultRowHeight="15" x14ac:dyDescent="0.25"/>
  <cols>
    <col min="1" max="1" width="17.7109375" bestFit="1" customWidth="1"/>
    <col min="2" max="2" width="13.85546875" bestFit="1" customWidth="1"/>
    <col min="3" max="3" width="185.42578125" customWidth="1"/>
    <col min="4" max="4" width="135.140625" customWidth="1"/>
  </cols>
  <sheetData>
    <row r="1" spans="1:4" x14ac:dyDescent="0.25">
      <c r="A1" t="s">
        <v>0</v>
      </c>
      <c r="B1" t="s">
        <v>4</v>
      </c>
      <c r="C1" t="s">
        <v>1</v>
      </c>
      <c r="D1" t="s">
        <v>2</v>
      </c>
    </row>
    <row r="2" spans="1:4" ht="75" customHeight="1" x14ac:dyDescent="0.25">
      <c r="A2" s="5" t="s">
        <v>9</v>
      </c>
      <c r="B2" s="6" t="s">
        <v>8</v>
      </c>
      <c r="C2" s="7" t="s">
        <v>10</v>
      </c>
      <c r="D2" s="7" t="s">
        <v>11</v>
      </c>
    </row>
  </sheetData>
  <conditionalFormatting sqref="A2:A991">
    <cfRule type="duplicateValues" dxfId="1" priority="11"/>
  </conditionalFormatting>
  <conditionalFormatting sqref="D2:D991">
    <cfRule type="duplicateValues" dxfId="0" priority="12"/>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DEF13-5832-44D1-A6BA-FA4E55F08B69}">
  <sheetPr>
    <tabColor theme="8" tint="0.79998168889431442"/>
  </sheetPr>
  <dimension ref="A1:C9"/>
  <sheetViews>
    <sheetView workbookViewId="0">
      <selection activeCell="C28" sqref="C28"/>
    </sheetView>
  </sheetViews>
  <sheetFormatPr defaultColWidth="9.140625" defaultRowHeight="15" x14ac:dyDescent="0.25"/>
  <cols>
    <col min="1" max="1" width="14.5703125" style="4" bestFit="1" customWidth="1"/>
    <col min="2" max="2" width="13.28515625" style="4" bestFit="1" customWidth="1"/>
    <col min="3" max="3" width="188.5703125" style="4" bestFit="1" customWidth="1"/>
    <col min="4" max="16384" width="9.140625" style="4"/>
  </cols>
  <sheetData>
    <row r="1" spans="1:3" x14ac:dyDescent="0.25">
      <c r="A1" s="4" t="s">
        <v>0</v>
      </c>
      <c r="B1" s="4" t="s">
        <v>4</v>
      </c>
      <c r="C1" s="4" t="s">
        <v>2</v>
      </c>
    </row>
    <row r="2" spans="1:3" ht="50.1" customHeight="1" x14ac:dyDescent="0.25">
      <c r="A2" s="1"/>
      <c r="B2" s="3"/>
    </row>
    <row r="3" spans="1:3" ht="50.1" customHeight="1" x14ac:dyDescent="0.25">
      <c r="A3" s="1"/>
      <c r="B3" s="3"/>
    </row>
    <row r="4" spans="1:3" ht="50.1" customHeight="1" x14ac:dyDescent="0.25">
      <c r="A4" s="1"/>
      <c r="B4" s="3"/>
    </row>
    <row r="5" spans="1:3" ht="50.1" customHeight="1" x14ac:dyDescent="0.25">
      <c r="A5" s="1"/>
      <c r="B5" s="3"/>
      <c r="C5" s="2"/>
    </row>
    <row r="6" spans="1:3" ht="50.1" customHeight="1" x14ac:dyDescent="0.25">
      <c r="A6" s="1"/>
      <c r="B6" s="3"/>
      <c r="C6" s="2"/>
    </row>
    <row r="7" spans="1:3" ht="50.1" customHeight="1" x14ac:dyDescent="0.25">
      <c r="A7" s="1"/>
      <c r="B7" s="3"/>
      <c r="C7" s="2"/>
    </row>
    <row r="8" spans="1:3" ht="50.1" customHeight="1" x14ac:dyDescent="0.25">
      <c r="A8" s="1"/>
      <c r="B8" s="3"/>
      <c r="C8" s="2"/>
    </row>
    <row r="9" spans="1:3" ht="50.1" customHeight="1" x14ac:dyDescent="0.25">
      <c r="A9" s="1"/>
      <c r="B9" s="3"/>
      <c r="C9"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Metamodel</vt:lpstr>
      <vt:lpstr>Implementation</vt:lpstr>
      <vt:lpstr>Metamodel - Classification</vt:lpstr>
      <vt:lpstr>Implementation - Query</vt:lpstr>
    </vt:vector>
  </TitlesOfParts>
  <Company>University of Twente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Favato Barcelos, Pedro Paulo (UT-EEMCS)</dc:creator>
  <cp:lastModifiedBy>Pedro Paulo Favato Barcelos</cp:lastModifiedBy>
  <dcterms:created xsi:type="dcterms:W3CDTF">2025-02-07T14:06:59Z</dcterms:created>
  <dcterms:modified xsi:type="dcterms:W3CDTF">2025-05-09T15:24:01Z</dcterms:modified>
</cp:coreProperties>
</file>